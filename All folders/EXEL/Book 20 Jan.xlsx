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if(-R70-wdpf)\EXEL\"/>
    </mc:Choice>
  </mc:AlternateContent>
  <xr:revisionPtr revIDLastSave="0" documentId="8_{6844D3EE-F979-443B-A2AB-68E329349A24}" xr6:coauthVersionLast="47" xr6:coauthVersionMax="47" xr10:uidLastSave="{00000000-0000-0000-0000-000000000000}"/>
  <bookViews>
    <workbookView xWindow="-120" yWindow="-120" windowWidth="29040" windowHeight="15720" xr2:uid="{DA722D60-0239-4C64-BCA5-09F082B6DC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9" i="1"/>
  <c r="J9" i="1"/>
  <c r="J10" i="1"/>
  <c r="J11" i="1"/>
  <c r="J12" i="1"/>
  <c r="J13" i="1"/>
  <c r="I10" i="1"/>
  <c r="I11" i="1"/>
  <c r="I12" i="1"/>
  <c r="I13" i="1"/>
  <c r="I9" i="1"/>
  <c r="H10" i="1"/>
  <c r="H11" i="1"/>
  <c r="H12" i="1"/>
  <c r="H13" i="1"/>
  <c r="H9" i="1"/>
  <c r="E4" i="1"/>
  <c r="F4" i="1"/>
  <c r="E5" i="1"/>
  <c r="F5" i="1"/>
  <c r="E6" i="1"/>
  <c r="F6" i="1"/>
  <c r="F3" i="1"/>
  <c r="E3" i="1"/>
</calcChain>
</file>

<file path=xl/sharedStrings.xml><?xml version="1.0" encoding="utf-8"?>
<sst xmlns="http://schemas.openxmlformats.org/spreadsheetml/2006/main" count="25" uniqueCount="23">
  <si>
    <t xml:space="preserve">Trainee </t>
  </si>
  <si>
    <t>Mina</t>
  </si>
  <si>
    <t>Raju</t>
  </si>
  <si>
    <t>Mithu</t>
  </si>
  <si>
    <t>Rani</t>
  </si>
  <si>
    <t>MCQ</t>
  </si>
  <si>
    <t>Desc.</t>
  </si>
  <si>
    <t>Marks(50)</t>
  </si>
  <si>
    <t xml:space="preserve">MCQ </t>
  </si>
  <si>
    <t>Result (Pass marks:30)</t>
  </si>
  <si>
    <t>Student Name</t>
  </si>
  <si>
    <t>Math</t>
  </si>
  <si>
    <t>Science</t>
  </si>
  <si>
    <t>English</t>
  </si>
  <si>
    <t>History</t>
  </si>
  <si>
    <t>Total</t>
  </si>
  <si>
    <t>Ramu</t>
  </si>
  <si>
    <t>Rajitha</t>
  </si>
  <si>
    <t>Komala</t>
  </si>
  <si>
    <t>Patil</t>
  </si>
  <si>
    <t>Porshi</t>
  </si>
  <si>
    <t>Percentage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</si>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</sst>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2" applyNumberFormat="0" applyAlignment="0" applyProtection="0"/>
    <xf numFmtId="0" fontId="1" fillId="3" borderId="3" applyNumberFormat="0" applyFont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4" fillId="4" borderId="1" xfId="3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3" borderId="3" xfId="2" applyFont="1"/>
    <xf numFmtId="0" fontId="9" fillId="2" borderId="2" xfId="1" applyFont="1"/>
  </cellXfs>
  <cellStyles count="4">
    <cellStyle name="40% - Accent3" xfId="3" builtinId="39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3806-D265-4B93-8F76-86103410D493}">
  <dimension ref="B1:L22"/>
  <sheetViews>
    <sheetView tabSelected="1" topLeftCell="A4" zoomScale="140" zoomScaleNormal="140" workbookViewId="0">
      <selection activeCell="AO26" activeCellId="33" sqref="V18 M17 N16:N22 P16 Q16 R16 R17 R18 R19 Q19 P19 P20 P21 P22 Q22 R22 T17 T20 V16:X16 V17 V19 W19 X19 X20 X21 X22 W22 V22 Z16:Z21 Z22 AA22:AB22 AA16:AB16 AB17:AB21 AO26"/>
    </sheetView>
  </sheetViews>
  <sheetFormatPr defaultColWidth="2.7109375" defaultRowHeight="15" x14ac:dyDescent="0.25"/>
  <cols>
    <col min="2" max="2" width="10" bestFit="1" customWidth="1"/>
    <col min="3" max="3" width="17" bestFit="1" customWidth="1"/>
    <col min="4" max="4" width="7.140625" bestFit="1" customWidth="1"/>
    <col min="5" max="5" width="9.42578125" bestFit="1" customWidth="1"/>
    <col min="6" max="6" width="9" bestFit="1" customWidth="1"/>
    <col min="7" max="7" width="9.28515625" bestFit="1" customWidth="1"/>
    <col min="8" max="8" width="6.7109375" bestFit="1" customWidth="1"/>
    <col min="9" max="9" width="13.7109375" bestFit="1" customWidth="1"/>
    <col min="10" max="10" width="8.140625" bestFit="1" customWidth="1"/>
    <col min="11" max="11" width="6.42578125" bestFit="1" customWidth="1"/>
    <col min="12" max="12" width="8.140625" bestFit="1" customWidth="1"/>
  </cols>
  <sheetData>
    <row r="1" spans="2:12" x14ac:dyDescent="0.25">
      <c r="C1" s="2" t="s">
        <v>7</v>
      </c>
      <c r="D1" s="4"/>
      <c r="E1" s="3" t="s">
        <v>9</v>
      </c>
      <c r="F1" s="3"/>
    </row>
    <row r="2" spans="2:12" ht="15.75" thickBot="1" x14ac:dyDescent="0.3">
      <c r="B2" s="1" t="s">
        <v>0</v>
      </c>
      <c r="C2" s="1" t="s">
        <v>8</v>
      </c>
      <c r="D2" s="1" t="s">
        <v>6</v>
      </c>
      <c r="E2" s="1" t="s">
        <v>5</v>
      </c>
      <c r="F2" s="1" t="s">
        <v>6</v>
      </c>
    </row>
    <row r="3" spans="2:12" x14ac:dyDescent="0.25">
      <c r="B3" s="2" t="s">
        <v>1</v>
      </c>
      <c r="C3">
        <v>42</v>
      </c>
      <c r="D3">
        <v>29</v>
      </c>
      <c r="E3" t="str">
        <f>IF(C3&gt;=30,"Pass","Fail")</f>
        <v>Pass</v>
      </c>
      <c r="F3" s="5" t="str">
        <f>IF(D3&gt;=30,"Pass","Fail")</f>
        <v>Fail</v>
      </c>
    </row>
    <row r="4" spans="2:12" x14ac:dyDescent="0.25">
      <c r="B4" s="2" t="s">
        <v>2</v>
      </c>
      <c r="C4">
        <v>50</v>
      </c>
      <c r="D4">
        <v>44</v>
      </c>
      <c r="E4" t="str">
        <f t="shared" ref="E4:E6" si="0">IF(C4&gt;=30,"Pass","Fail")</f>
        <v>Pass</v>
      </c>
      <c r="F4" t="str">
        <f t="shared" ref="F4:F6" si="1">IF(D4&gt;=30,"Pass","Fail")</f>
        <v>Pass</v>
      </c>
    </row>
    <row r="5" spans="2:12" x14ac:dyDescent="0.25">
      <c r="B5" s="2" t="s">
        <v>3</v>
      </c>
      <c r="C5">
        <v>25</v>
      </c>
      <c r="D5">
        <v>45</v>
      </c>
      <c r="E5" s="5" t="str">
        <f t="shared" si="0"/>
        <v>Fail</v>
      </c>
      <c r="F5" t="str">
        <f t="shared" si="1"/>
        <v>Pass</v>
      </c>
    </row>
    <row r="6" spans="2:12" x14ac:dyDescent="0.25">
      <c r="B6" s="2" t="s">
        <v>4</v>
      </c>
      <c r="C6">
        <v>36</v>
      </c>
      <c r="D6">
        <v>25</v>
      </c>
      <c r="E6" t="str">
        <f t="shared" si="0"/>
        <v>Pass</v>
      </c>
      <c r="F6" s="5" t="str">
        <f t="shared" si="1"/>
        <v>Fail</v>
      </c>
    </row>
    <row r="8" spans="2:12" ht="18.75" x14ac:dyDescent="0.3"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21</v>
      </c>
      <c r="J8" s="10" t="s">
        <v>22</v>
      </c>
      <c r="K8" s="9"/>
      <c r="L8" s="9" t="s">
        <v>22</v>
      </c>
    </row>
    <row r="9" spans="2:12" ht="18.75" x14ac:dyDescent="0.3">
      <c r="C9" s="11" t="s">
        <v>16</v>
      </c>
      <c r="D9" s="7">
        <v>78</v>
      </c>
      <c r="E9" s="7">
        <v>85</v>
      </c>
      <c r="F9" s="7">
        <v>69</v>
      </c>
      <c r="G9" s="7">
        <v>72</v>
      </c>
      <c r="H9" s="7">
        <f>SUM(D9:G9)</f>
        <v>304</v>
      </c>
      <c r="I9" s="7">
        <f>H9/400</f>
        <v>0.76</v>
      </c>
      <c r="J9" s="7" t="str">
        <f>IF(I9&gt;=75%,"Pass","Fail")</f>
        <v>Pass</v>
      </c>
      <c r="K9" s="7"/>
      <c r="L9" s="7" t="str">
        <f>IF(I9&lt;75%,"Fail","Pass")</f>
        <v>Pass</v>
      </c>
    </row>
    <row r="10" spans="2:12" ht="18.75" x14ac:dyDescent="0.3">
      <c r="C10" s="11" t="s">
        <v>17</v>
      </c>
      <c r="D10" s="7">
        <v>88</v>
      </c>
      <c r="E10" s="7">
        <v>92</v>
      </c>
      <c r="F10" s="7">
        <v>76</v>
      </c>
      <c r="G10" s="7">
        <v>81</v>
      </c>
      <c r="H10" s="7">
        <f t="shared" ref="H10:H13" si="2">SUM(D10:G10)</f>
        <v>337</v>
      </c>
      <c r="I10" s="7">
        <f t="shared" ref="I10:I13" si="3">H10/400</f>
        <v>0.84250000000000003</v>
      </c>
      <c r="J10" s="7" t="str">
        <f t="shared" ref="J10:J13" si="4">IF(I10&gt;=75%,"Pass","Fail")</f>
        <v>Pass</v>
      </c>
      <c r="K10" s="7"/>
      <c r="L10" s="7" t="str">
        <f>IF(I10&lt;75%,"Fail","Pass")</f>
        <v>Pass</v>
      </c>
    </row>
    <row r="11" spans="2:12" ht="18.75" x14ac:dyDescent="0.3">
      <c r="C11" s="11" t="s">
        <v>18</v>
      </c>
      <c r="D11" s="7">
        <v>65</v>
      </c>
      <c r="E11" s="7">
        <v>70</v>
      </c>
      <c r="F11" s="7">
        <v>55</v>
      </c>
      <c r="G11" s="7">
        <v>60</v>
      </c>
      <c r="H11" s="7">
        <f t="shared" si="2"/>
        <v>250</v>
      </c>
      <c r="I11" s="7">
        <f t="shared" si="3"/>
        <v>0.625</v>
      </c>
      <c r="J11" s="8" t="str">
        <f t="shared" si="4"/>
        <v>Fail</v>
      </c>
      <c r="K11" s="7"/>
      <c r="L11" s="7" t="str">
        <f>IF(I11&lt;75%,"Fail","Pass")</f>
        <v>Fail</v>
      </c>
    </row>
    <row r="12" spans="2:12" ht="18.75" x14ac:dyDescent="0.3">
      <c r="C12" s="11" t="s">
        <v>19</v>
      </c>
      <c r="D12" s="7">
        <v>90</v>
      </c>
      <c r="E12" s="7">
        <v>89</v>
      </c>
      <c r="F12" s="7">
        <v>92</v>
      </c>
      <c r="G12" s="7">
        <v>95</v>
      </c>
      <c r="H12" s="7">
        <f t="shared" si="2"/>
        <v>366</v>
      </c>
      <c r="I12" s="7">
        <f t="shared" si="3"/>
        <v>0.91500000000000004</v>
      </c>
      <c r="J12" s="7" t="str">
        <f t="shared" si="4"/>
        <v>Pass</v>
      </c>
      <c r="K12" s="7"/>
      <c r="L12" s="7" t="str">
        <f>IF(I12&lt;75%,"Fail","Pass")</f>
        <v>Pass</v>
      </c>
    </row>
    <row r="13" spans="2:12" ht="18.75" x14ac:dyDescent="0.3">
      <c r="C13" s="11" t="s">
        <v>20</v>
      </c>
      <c r="D13" s="7">
        <v>72</v>
      </c>
      <c r="E13" s="7">
        <v>80</v>
      </c>
      <c r="F13" s="7">
        <v>78</v>
      </c>
      <c r="G13" s="7">
        <v>70</v>
      </c>
      <c r="H13" s="7">
        <f t="shared" si="2"/>
        <v>300</v>
      </c>
      <c r="I13" s="7">
        <f t="shared" si="3"/>
        <v>0.75</v>
      </c>
      <c r="J13" s="7" t="str">
        <f t="shared" si="4"/>
        <v>Pass</v>
      </c>
      <c r="K13" s="7"/>
      <c r="L13" s="7" t="str">
        <f>IF(I13&lt;75%,"Fail","Pass")</f>
        <v>Pass</v>
      </c>
    </row>
    <row r="14" spans="2:12" x14ac:dyDescent="0.25">
      <c r="K14" s="6"/>
    </row>
    <row r="15" spans="2:12" x14ac:dyDescent="0.25">
      <c r="J15" s="6"/>
    </row>
    <row r="16" spans="2:12" x14ac:dyDescent="0.25">
      <c r="H16" s="2"/>
    </row>
    <row r="22" spans="9:9" x14ac:dyDescent="0.25">
      <c r="I22" s="6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2026-01-20T05:41:06Z</dcterms:created>
  <dcterms:modified xsi:type="dcterms:W3CDTF">2026-01-20T07:07:02Z</dcterms:modified>
</cp:coreProperties>
</file>