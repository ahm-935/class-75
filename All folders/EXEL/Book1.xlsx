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rif(-R70-wdpf)\EXEL\"/>
    </mc:Choice>
  </mc:AlternateContent>
  <xr:revisionPtr revIDLastSave="0" documentId="13_ncr:1_{B2CD4C11-4EFB-4750-9DD4-38AD12B62B39}" xr6:coauthVersionLast="47" xr6:coauthVersionMax="47" xr10:uidLastSave="{00000000-0000-0000-0000-000000000000}"/>
  <bookViews>
    <workbookView xWindow="-120" yWindow="-120" windowWidth="29040" windowHeight="15720" activeTab="2" xr2:uid="{FDB5A10E-6CE1-488F-81E2-FD5FB96FBCF2}"/>
  </bookViews>
  <sheets>
    <sheet name="ASIAN COUNTRIES" sheetId="1" r:id="rId1"/>
    <sheet name="NORTH AMERICA" sheetId="3" r:id="rId2"/>
    <sheet name="Date,Number, Month,Days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4" l="1"/>
  <c r="E5" i="4"/>
  <c r="F2" i="4"/>
  <c r="C4" i="4"/>
  <c r="C5" i="4" s="1"/>
  <c r="I20" i="4"/>
  <c r="K23" i="4"/>
  <c r="F21" i="4"/>
  <c r="K34" i="1"/>
  <c r="K31" i="1"/>
</calcChain>
</file>

<file path=xl/sharedStrings.xml><?xml version="1.0" encoding="utf-8"?>
<sst xmlns="http://schemas.openxmlformats.org/spreadsheetml/2006/main" count="57" uniqueCount="57">
  <si>
    <t>Japan</t>
  </si>
  <si>
    <t>China</t>
  </si>
  <si>
    <t>North Korea</t>
  </si>
  <si>
    <t>South Korea</t>
  </si>
  <si>
    <t>Mongolia</t>
  </si>
  <si>
    <t>Hong Kong</t>
  </si>
  <si>
    <t>Taiwan</t>
  </si>
  <si>
    <t>SOUTH EAST ASIA</t>
  </si>
  <si>
    <t>EAST ASIA</t>
  </si>
  <si>
    <t>Myanmar</t>
  </si>
  <si>
    <t>Singapur</t>
  </si>
  <si>
    <t>Thailand</t>
  </si>
  <si>
    <t>Combodia</t>
  </si>
  <si>
    <t>Vietnam</t>
  </si>
  <si>
    <t>Philipines</t>
  </si>
  <si>
    <t>Indonesia</t>
  </si>
  <si>
    <t>East Timur</t>
  </si>
  <si>
    <t>Malaysia</t>
  </si>
  <si>
    <t>Laos</t>
  </si>
  <si>
    <t>SOUTH ASIA</t>
  </si>
  <si>
    <t>Bangladesh</t>
  </si>
  <si>
    <t xml:space="preserve">India </t>
  </si>
  <si>
    <t>Pakistan</t>
  </si>
  <si>
    <t>Maldives</t>
  </si>
  <si>
    <t>Srilanka</t>
  </si>
  <si>
    <t>Nepal</t>
  </si>
  <si>
    <t>Bhutan</t>
  </si>
  <si>
    <t>Afghanistan</t>
  </si>
  <si>
    <t>Brunei</t>
  </si>
  <si>
    <t>30/06/2001</t>
  </si>
  <si>
    <t>USA</t>
  </si>
  <si>
    <t>Canada</t>
  </si>
  <si>
    <t>Mexico</t>
  </si>
  <si>
    <t>Haiti</t>
  </si>
  <si>
    <t>Guyana</t>
  </si>
  <si>
    <t>kjsdbc</t>
  </si>
  <si>
    <t>A</t>
  </si>
  <si>
    <t>B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</si>
  <si>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</si>
  <si>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</si>
  <si>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</si>
  <si>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</si>
  <si>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</si>
  <si>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</si>
  <si>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</si>
  <si>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</si>
  <si>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</si>
  <si>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</si>
  <si>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</si>
  <si>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</si>
  <si>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Saturday</t>
  </si>
  <si>
    <t>Sunday</t>
  </si>
  <si>
    <t>Monday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</si>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</sst>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[$-F400]h:mm:ss\ AM/PM"/>
    <numFmt numFmtId="167" formatCode="&quot;$&quot;#,##0.00"/>
    <numFmt numFmtId="169" formatCode="[$-F800]dddd\,\ mmmm\ dd\,\ yyyy"/>
    <numFmt numFmtId="170" formatCode="[$-409]d\-mmm;@"/>
    <numFmt numFmtId="174" formatCode="\৳\ #,##0.00[$-845]"/>
    <numFmt numFmtId="175" formatCode="00\ \৳\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3">
    <xf numFmtId="0" fontId="0" fillId="0" borderId="0" xfId="0"/>
    <xf numFmtId="0" fontId="7" fillId="0" borderId="0" xfId="0" applyFont="1"/>
    <xf numFmtId="0" fontId="2" fillId="2" borderId="0" xfId="1"/>
    <xf numFmtId="0" fontId="3" fillId="3" borderId="0" xfId="2"/>
    <xf numFmtId="0" fontId="4" fillId="4" borderId="0" xfId="3"/>
    <xf numFmtId="0" fontId="5" fillId="5" borderId="1" xfId="4"/>
    <xf numFmtId="0" fontId="1" fillId="7" borderId="0" xfId="6"/>
    <xf numFmtId="0" fontId="1" fillId="6" borderId="0" xfId="5"/>
    <xf numFmtId="0" fontId="1" fillId="8" borderId="0" xfId="7"/>
    <xf numFmtId="0" fontId="6" fillId="0" borderId="0" xfId="0" applyFont="1" applyAlignment="1">
      <alignment horizontal="center" vertical="top"/>
    </xf>
    <xf numFmtId="0" fontId="2" fillId="2" borderId="0" xfId="1" applyProtection="1"/>
    <xf numFmtId="164" fontId="0" fillId="0" borderId="0" xfId="0" applyNumberFormat="1"/>
    <xf numFmtId="167" fontId="0" fillId="0" borderId="0" xfId="0" applyNumberFormat="1"/>
    <xf numFmtId="44" fontId="0" fillId="0" borderId="0" xfId="0" applyNumberFormat="1"/>
    <xf numFmtId="169" fontId="0" fillId="0" borderId="0" xfId="0" applyNumberFormat="1"/>
    <xf numFmtId="14" fontId="0" fillId="0" borderId="0" xfId="0" applyNumberFormat="1"/>
    <xf numFmtId="0" fontId="0" fillId="0" borderId="0" xfId="0" applyNumberFormat="1"/>
    <xf numFmtId="170" fontId="0" fillId="0" borderId="0" xfId="0" applyNumberFormat="1"/>
    <xf numFmtId="174" fontId="0" fillId="0" borderId="0" xfId="0" applyNumberFormat="1"/>
    <xf numFmtId="174" fontId="0" fillId="0" borderId="0" xfId="9" applyNumberFormat="1" applyFont="1"/>
    <xf numFmtId="175" fontId="0" fillId="0" borderId="0" xfId="0" applyNumberFormat="1"/>
    <xf numFmtId="174" fontId="0" fillId="0" borderId="0" xfId="8" applyNumberFormat="1" applyFont="1"/>
    <xf numFmtId="0" fontId="8" fillId="0" borderId="0" xfId="10"/>
  </cellXfs>
  <cellStyles count="11">
    <cellStyle name="20% - Accent6" xfId="6" builtinId="50"/>
    <cellStyle name="40% - Accent1" xfId="5" builtinId="31"/>
    <cellStyle name="60% - Accent6" xfId="7" builtinId="52"/>
    <cellStyle name="Bad" xfId="2" builtinId="27"/>
    <cellStyle name="Currency" xfId="8" builtinId="4"/>
    <cellStyle name="Good" xfId="1" builtinId="26"/>
    <cellStyle name="Hyperlink" xfId="10" builtinId="8"/>
    <cellStyle name="Input" xfId="4" builtinId="20"/>
    <cellStyle name="Neutral" xfId="3" builtinId="28"/>
    <cellStyle name="Normal" xfId="0" builtinId="0"/>
    <cellStyle name="Percent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5BE1C-37F3-4FA1-8A1A-1925E38C01E4}">
  <dimension ref="A1:L34"/>
  <sheetViews>
    <sheetView topLeftCell="A4" workbookViewId="0">
      <selection activeCell="H16" sqref="H16:H19"/>
    </sheetView>
  </sheetViews>
  <sheetFormatPr defaultRowHeight="15" x14ac:dyDescent="0.25"/>
  <cols>
    <col min="1" max="1" width="11.85546875" customWidth="1"/>
    <col min="2" max="2" width="12.28515625" customWidth="1"/>
    <col min="3" max="3" width="16.7109375" customWidth="1"/>
    <col min="7" max="15" width="15.7109375" customWidth="1"/>
  </cols>
  <sheetData>
    <row r="1" spans="1:12" ht="21.95" customHeight="1" x14ac:dyDescent="0.25">
      <c r="A1" s="9" t="s">
        <v>19</v>
      </c>
      <c r="B1" s="9" t="s">
        <v>8</v>
      </c>
      <c r="C1" s="9" t="s">
        <v>7</v>
      </c>
    </row>
    <row r="2" spans="1:12" ht="15.75" x14ac:dyDescent="0.25">
      <c r="A2" s="10" t="s">
        <v>20</v>
      </c>
      <c r="B2" s="1" t="s">
        <v>0</v>
      </c>
      <c r="C2" s="1" t="s">
        <v>9</v>
      </c>
    </row>
    <row r="3" spans="1:12" ht="15.75" x14ac:dyDescent="0.25">
      <c r="A3" s="3" t="s">
        <v>21</v>
      </c>
      <c r="B3" s="1" t="s">
        <v>1</v>
      </c>
      <c r="C3" s="1" t="s">
        <v>10</v>
      </c>
    </row>
    <row r="4" spans="1:12" ht="15.75" x14ac:dyDescent="0.25">
      <c r="A4" s="6" t="s">
        <v>22</v>
      </c>
      <c r="B4" s="1" t="s">
        <v>2</v>
      </c>
      <c r="C4" s="1" t="s">
        <v>11</v>
      </c>
    </row>
    <row r="5" spans="1:12" ht="15.75" x14ac:dyDescent="0.25">
      <c r="A5" s="8" t="s">
        <v>23</v>
      </c>
      <c r="B5" s="1" t="s">
        <v>3</v>
      </c>
      <c r="C5" s="1" t="s">
        <v>12</v>
      </c>
    </row>
    <row r="6" spans="1:12" ht="15.75" x14ac:dyDescent="0.25">
      <c r="A6" s="4" t="s">
        <v>24</v>
      </c>
      <c r="B6" s="1" t="s">
        <v>4</v>
      </c>
      <c r="C6" s="1" t="s">
        <v>13</v>
      </c>
      <c r="I6" s="18"/>
      <c r="K6" s="20">
        <v>657</v>
      </c>
    </row>
    <row r="7" spans="1:12" ht="15.75" x14ac:dyDescent="0.25">
      <c r="A7" s="5" t="s">
        <v>25</v>
      </c>
      <c r="B7" s="1" t="s">
        <v>5</v>
      </c>
      <c r="C7" s="1" t="s">
        <v>14</v>
      </c>
    </row>
    <row r="8" spans="1:12" ht="15.75" x14ac:dyDescent="0.25">
      <c r="A8" s="2" t="s">
        <v>26</v>
      </c>
      <c r="B8" s="1" t="s">
        <v>6</v>
      </c>
      <c r="C8" s="1" t="s">
        <v>15</v>
      </c>
    </row>
    <row r="9" spans="1:12" ht="15.75" x14ac:dyDescent="0.25">
      <c r="A9" s="7" t="s">
        <v>27</v>
      </c>
      <c r="B9" s="1"/>
      <c r="C9" s="1" t="s">
        <v>16</v>
      </c>
    </row>
    <row r="10" spans="1:12" ht="15.75" x14ac:dyDescent="0.25">
      <c r="A10" s="1"/>
      <c r="B10" s="1"/>
      <c r="C10" s="1" t="s">
        <v>17</v>
      </c>
    </row>
    <row r="11" spans="1:12" ht="15.75" x14ac:dyDescent="0.25">
      <c r="A11" s="1"/>
      <c r="B11" s="1"/>
      <c r="C11" s="1" t="s">
        <v>18</v>
      </c>
      <c r="G11" s="15">
        <v>1256</v>
      </c>
    </row>
    <row r="12" spans="1:12" ht="15.75" x14ac:dyDescent="0.25">
      <c r="A12" s="1"/>
      <c r="B12" s="1"/>
      <c r="C12" s="1" t="s">
        <v>28</v>
      </c>
      <c r="J12" s="21">
        <v>200</v>
      </c>
    </row>
    <row r="14" spans="1:12" x14ac:dyDescent="0.25">
      <c r="L14" s="19">
        <v>200</v>
      </c>
    </row>
    <row r="15" spans="1:12" x14ac:dyDescent="0.25">
      <c r="J15" s="13">
        <v>54</v>
      </c>
    </row>
    <row r="16" spans="1:12" x14ac:dyDescent="0.25">
      <c r="J16" s="12">
        <v>87</v>
      </c>
    </row>
    <row r="19" spans="2:11" x14ac:dyDescent="0.25">
      <c r="K19">
        <v>1</v>
      </c>
    </row>
    <row r="20" spans="2:11" x14ac:dyDescent="0.25">
      <c r="J20" s="17" t="s">
        <v>29</v>
      </c>
      <c r="K20">
        <v>65</v>
      </c>
    </row>
    <row r="21" spans="2:11" ht="15.75" x14ac:dyDescent="0.25">
      <c r="B21" s="1"/>
      <c r="K21">
        <v>985</v>
      </c>
    </row>
    <row r="22" spans="2:11" x14ac:dyDescent="0.25">
      <c r="K22">
        <v>645</v>
      </c>
    </row>
    <row r="23" spans="2:11" x14ac:dyDescent="0.25">
      <c r="K23">
        <v>64</v>
      </c>
    </row>
    <row r="24" spans="2:11" x14ac:dyDescent="0.25">
      <c r="K24">
        <v>564</v>
      </c>
    </row>
    <row r="25" spans="2:11" x14ac:dyDescent="0.25">
      <c r="H25" s="15">
        <v>30</v>
      </c>
      <c r="K25">
        <v>64</v>
      </c>
    </row>
    <row r="26" spans="2:11" x14ac:dyDescent="0.25">
      <c r="K26">
        <v>98</v>
      </c>
    </row>
    <row r="27" spans="2:11" x14ac:dyDescent="0.25">
      <c r="K27">
        <v>742</v>
      </c>
    </row>
    <row r="28" spans="2:11" x14ac:dyDescent="0.25">
      <c r="K28">
        <v>654</v>
      </c>
    </row>
    <row r="29" spans="2:11" x14ac:dyDescent="0.25">
      <c r="K29">
        <v>16</v>
      </c>
    </row>
    <row r="30" spans="2:11" x14ac:dyDescent="0.25">
      <c r="K30">
        <v>68</v>
      </c>
    </row>
    <row r="31" spans="2:11" x14ac:dyDescent="0.25">
      <c r="K31">
        <f>SUM(K19:K30)</f>
        <v>3966</v>
      </c>
    </row>
    <row r="34" spans="11:11" x14ac:dyDescent="0.25">
      <c r="K34">
        <f>AVERAGE(K19:K30)</f>
        <v>330.5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63332-C8BA-4593-9ADF-7765C2486892}">
  <dimension ref="F8:F12"/>
  <sheetViews>
    <sheetView workbookViewId="0">
      <selection activeCell="F13" sqref="F13"/>
    </sheetView>
  </sheetViews>
  <sheetFormatPr defaultRowHeight="15" x14ac:dyDescent="0.25"/>
  <sheetData>
    <row r="8" spans="6:6" x14ac:dyDescent="0.25">
      <c r="F8" t="s">
        <v>30</v>
      </c>
    </row>
    <row r="9" spans="6:6" x14ac:dyDescent="0.25">
      <c r="F9" t="s">
        <v>31</v>
      </c>
    </row>
    <row r="10" spans="6:6" x14ac:dyDescent="0.25">
      <c r="F10" t="s">
        <v>32</v>
      </c>
    </row>
    <row r="11" spans="6:6" x14ac:dyDescent="0.25">
      <c r="F11" t="s">
        <v>33</v>
      </c>
    </row>
    <row r="12" spans="6:6" x14ac:dyDescent="0.25">
      <c r="F12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9D4C-3AFC-4BD8-AE54-9F33E76645B0}">
  <dimension ref="A2:S29"/>
  <sheetViews>
    <sheetView tabSelected="1" workbookViewId="0">
      <selection activeCell="K23" sqref="K23"/>
    </sheetView>
  </sheetViews>
  <sheetFormatPr defaultRowHeight="15" x14ac:dyDescent="0.25"/>
  <cols>
    <col min="1" max="1" width="11.42578125" customWidth="1"/>
    <col min="2" max="2" width="10.85546875" bestFit="1" customWidth="1"/>
    <col min="9" max="9" width="23.140625" customWidth="1"/>
    <col min="13" max="13" width="9.42578125" customWidth="1"/>
    <col min="14" max="14" width="29.7109375" bestFit="1" customWidth="1"/>
  </cols>
  <sheetData>
    <row r="2" spans="1:19" x14ac:dyDescent="0.25">
      <c r="C2">
        <v>100</v>
      </c>
      <c r="D2">
        <v>60</v>
      </c>
      <c r="F2">
        <f>D2-E2</f>
        <v>60</v>
      </c>
    </row>
    <row r="3" spans="1:19" x14ac:dyDescent="0.25">
      <c r="C3">
        <v>20</v>
      </c>
      <c r="J3" t="s">
        <v>36</v>
      </c>
      <c r="K3">
        <v>1</v>
      </c>
      <c r="L3">
        <v>1</v>
      </c>
      <c r="M3">
        <v>2</v>
      </c>
      <c r="N3" s="14">
        <v>46015</v>
      </c>
    </row>
    <row r="4" spans="1:19" x14ac:dyDescent="0.25">
      <c r="C4">
        <f>C2+C3</f>
        <v>120</v>
      </c>
      <c r="K4">
        <v>2</v>
      </c>
      <c r="L4">
        <v>3</v>
      </c>
      <c r="M4">
        <v>4</v>
      </c>
      <c r="N4" s="14">
        <v>46016</v>
      </c>
    </row>
    <row r="5" spans="1:19" x14ac:dyDescent="0.25">
      <c r="C5">
        <f>C4/C3</f>
        <v>6</v>
      </c>
      <c r="E5">
        <f>C2*C3</f>
        <v>2000</v>
      </c>
      <c r="H5">
        <v>5</v>
      </c>
      <c r="K5">
        <v>3</v>
      </c>
      <c r="L5">
        <v>5</v>
      </c>
      <c r="M5">
        <v>6</v>
      </c>
      <c r="N5" s="14">
        <v>46017</v>
      </c>
    </row>
    <row r="6" spans="1:19" x14ac:dyDescent="0.25">
      <c r="H6">
        <v>10</v>
      </c>
      <c r="K6">
        <v>4</v>
      </c>
      <c r="L6">
        <v>7</v>
      </c>
      <c r="M6">
        <v>8</v>
      </c>
      <c r="N6" s="14">
        <v>46018</v>
      </c>
    </row>
    <row r="7" spans="1:19" x14ac:dyDescent="0.25">
      <c r="H7">
        <v>15</v>
      </c>
      <c r="K7">
        <v>5</v>
      </c>
      <c r="L7">
        <v>9</v>
      </c>
      <c r="M7">
        <v>10</v>
      </c>
      <c r="N7" s="14">
        <v>46019</v>
      </c>
    </row>
    <row r="8" spans="1:19" x14ac:dyDescent="0.25">
      <c r="H8">
        <v>20</v>
      </c>
      <c r="K8">
        <v>6</v>
      </c>
      <c r="L8">
        <v>11</v>
      </c>
      <c r="M8">
        <v>12</v>
      </c>
      <c r="N8" s="14">
        <v>46020</v>
      </c>
    </row>
    <row r="9" spans="1:19" x14ac:dyDescent="0.25">
      <c r="K9">
        <v>7</v>
      </c>
      <c r="L9">
        <v>13</v>
      </c>
      <c r="M9">
        <v>14</v>
      </c>
      <c r="N9" s="14">
        <v>46021</v>
      </c>
    </row>
    <row r="10" spans="1:19" x14ac:dyDescent="0.25">
      <c r="H10">
        <v>30</v>
      </c>
      <c r="K10">
        <v>8</v>
      </c>
      <c r="L10">
        <v>15</v>
      </c>
      <c r="M10">
        <v>16</v>
      </c>
      <c r="N10" s="14">
        <v>46022</v>
      </c>
      <c r="S10" s="22"/>
    </row>
    <row r="11" spans="1:19" x14ac:dyDescent="0.25">
      <c r="H11">
        <v>35</v>
      </c>
      <c r="I11" s="12">
        <v>34</v>
      </c>
      <c r="K11">
        <v>9</v>
      </c>
      <c r="L11">
        <v>17</v>
      </c>
      <c r="M11">
        <v>18</v>
      </c>
      <c r="N11" s="14">
        <v>46023</v>
      </c>
    </row>
    <row r="12" spans="1:19" x14ac:dyDescent="0.25">
      <c r="A12" t="s">
        <v>50</v>
      </c>
      <c r="B12" t="s">
        <v>38</v>
      </c>
      <c r="C12" t="s">
        <v>35</v>
      </c>
      <c r="D12">
        <v>55</v>
      </c>
      <c r="E12">
        <v>55</v>
      </c>
      <c r="F12">
        <v>55</v>
      </c>
      <c r="H12">
        <v>40</v>
      </c>
      <c r="I12" s="16">
        <v>880179352135</v>
      </c>
      <c r="K12">
        <v>10</v>
      </c>
      <c r="L12">
        <v>19</v>
      </c>
      <c r="M12">
        <v>20</v>
      </c>
      <c r="N12" s="14">
        <v>46024</v>
      </c>
    </row>
    <row r="13" spans="1:19" x14ac:dyDescent="0.25">
      <c r="A13" t="s">
        <v>51</v>
      </c>
      <c r="B13" t="s">
        <v>39</v>
      </c>
      <c r="F13">
        <v>25</v>
      </c>
      <c r="H13">
        <f>SUM(H5:H12)</f>
        <v>155</v>
      </c>
      <c r="I13" s="11">
        <v>12</v>
      </c>
      <c r="K13">
        <v>11</v>
      </c>
      <c r="L13">
        <v>21</v>
      </c>
      <c r="M13">
        <v>22</v>
      </c>
      <c r="N13" s="14">
        <v>46025</v>
      </c>
    </row>
    <row r="14" spans="1:19" x14ac:dyDescent="0.25">
      <c r="A14" t="s">
        <v>52</v>
      </c>
      <c r="B14" t="s">
        <v>40</v>
      </c>
      <c r="F14">
        <v>75</v>
      </c>
      <c r="K14">
        <v>12</v>
      </c>
      <c r="L14">
        <v>23</v>
      </c>
      <c r="M14">
        <v>24</v>
      </c>
      <c r="N14" s="14">
        <v>46026</v>
      </c>
    </row>
    <row r="15" spans="1:19" x14ac:dyDescent="0.25">
      <c r="A15" t="s">
        <v>53</v>
      </c>
      <c r="B15" t="s">
        <v>41</v>
      </c>
      <c r="F15">
        <v>100</v>
      </c>
      <c r="K15">
        <v>13</v>
      </c>
      <c r="L15">
        <v>25</v>
      </c>
      <c r="M15">
        <v>26</v>
      </c>
      <c r="N15" s="14">
        <v>46027</v>
      </c>
    </row>
    <row r="16" spans="1:19" x14ac:dyDescent="0.25">
      <c r="A16" t="s">
        <v>54</v>
      </c>
      <c r="B16" t="s">
        <v>42</v>
      </c>
      <c r="F16">
        <v>125</v>
      </c>
      <c r="G16">
        <v>125</v>
      </c>
      <c r="K16">
        <v>14</v>
      </c>
      <c r="L16">
        <v>27</v>
      </c>
      <c r="M16">
        <v>28</v>
      </c>
      <c r="N16" s="14">
        <v>46028</v>
      </c>
    </row>
    <row r="17" spans="1:14" x14ac:dyDescent="0.25">
      <c r="A17" t="s">
        <v>55</v>
      </c>
      <c r="B17" t="s">
        <v>43</v>
      </c>
      <c r="F17">
        <v>50</v>
      </c>
      <c r="H17" t="s">
        <v>37</v>
      </c>
      <c r="K17">
        <v>15</v>
      </c>
      <c r="L17">
        <v>29</v>
      </c>
      <c r="M17">
        <v>30</v>
      </c>
      <c r="N17" s="14">
        <v>46029</v>
      </c>
    </row>
    <row r="18" spans="1:14" x14ac:dyDescent="0.25">
      <c r="A18" t="s">
        <v>56</v>
      </c>
      <c r="B18" t="s">
        <v>44</v>
      </c>
      <c r="F18">
        <v>75</v>
      </c>
      <c r="K18">
        <v>16</v>
      </c>
      <c r="L18">
        <v>31</v>
      </c>
      <c r="M18">
        <v>32</v>
      </c>
      <c r="N18" s="14">
        <v>46030</v>
      </c>
    </row>
    <row r="19" spans="1:14" x14ac:dyDescent="0.25">
      <c r="B19" t="s">
        <v>45</v>
      </c>
      <c r="F19">
        <v>25</v>
      </c>
      <c r="K19">
        <v>17</v>
      </c>
      <c r="L19">
        <v>33</v>
      </c>
      <c r="M19">
        <v>34</v>
      </c>
      <c r="N19" s="14">
        <v>46031</v>
      </c>
    </row>
    <row r="20" spans="1:14" x14ac:dyDescent="0.25">
      <c r="B20" t="s">
        <v>46</v>
      </c>
      <c r="F20">
        <v>50</v>
      </c>
      <c r="I20">
        <f>F15+F16+F18-F13-F20</f>
        <v>225</v>
      </c>
      <c r="K20">
        <v>18</v>
      </c>
      <c r="L20">
        <v>35</v>
      </c>
      <c r="M20">
        <v>36</v>
      </c>
      <c r="N20" s="14">
        <v>46032</v>
      </c>
    </row>
    <row r="21" spans="1:14" x14ac:dyDescent="0.25">
      <c r="B21" t="s">
        <v>47</v>
      </c>
      <c r="F21">
        <f>AVERAGE(F12:F20)</f>
        <v>64.444444444444443</v>
      </c>
      <c r="K21">
        <v>19</v>
      </c>
      <c r="N21" s="14">
        <v>46033</v>
      </c>
    </row>
    <row r="22" spans="1:14" x14ac:dyDescent="0.25">
      <c r="B22" t="s">
        <v>48</v>
      </c>
      <c r="K22">
        <v>20</v>
      </c>
      <c r="N22" s="14">
        <v>46034</v>
      </c>
    </row>
    <row r="23" spans="1:14" x14ac:dyDescent="0.25">
      <c r="B23" t="s">
        <v>49</v>
      </c>
      <c r="K23">
        <f>SUM(K3:K22)</f>
        <v>210</v>
      </c>
      <c r="N23" s="14">
        <v>46035</v>
      </c>
    </row>
    <row r="24" spans="1:14" x14ac:dyDescent="0.25">
      <c r="N24" s="14">
        <v>46036</v>
      </c>
    </row>
    <row r="25" spans="1:14" x14ac:dyDescent="0.25">
      <c r="N25" s="14">
        <v>46037</v>
      </c>
    </row>
    <row r="26" spans="1:14" x14ac:dyDescent="0.25">
      <c r="N26" s="14">
        <v>46038</v>
      </c>
    </row>
    <row r="27" spans="1:14" x14ac:dyDescent="0.25">
      <c r="N27" s="14">
        <v>46039</v>
      </c>
    </row>
    <row r="28" spans="1:14" x14ac:dyDescent="0.25">
      <c r="N28" s="14">
        <v>46040</v>
      </c>
    </row>
    <row r="29" spans="1:14" x14ac:dyDescent="0.25">
      <c r="N29" s="14">
        <v>46041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ASIAN COUNTRIES</vt:lpstr>
      <vt:lpstr>NORTH AMERICA</vt:lpstr>
      <vt:lpstr>Date,Number, Month,Days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B-5</dc:creator>
  <cp:lastModifiedBy>B-5</cp:lastModifiedBy>
  <dcterms:created xsi:type="dcterms:W3CDTF">2026-01-18T04:00:03Z</dcterms:created>
  <dcterms:modified xsi:type="dcterms:W3CDTF">2026-01-18T06:59:04Z</dcterms:modified>
</cp:coreProperties>
</file>